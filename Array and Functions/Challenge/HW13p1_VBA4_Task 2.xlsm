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navbhalgat/Documents/GitHub/Visual-Basic-Application/Array and Functions/Challenge/"/>
    </mc:Choice>
  </mc:AlternateContent>
  <xr:revisionPtr revIDLastSave="0" documentId="13_ncr:1_{F7C8B784-0193-3A4E-99E8-25251C6E8076}" xr6:coauthVersionLast="47" xr6:coauthVersionMax="47" xr10:uidLastSave="{00000000-0000-0000-0000-000000000000}"/>
  <bookViews>
    <workbookView xWindow="800" yWindow="2560" windowWidth="23260" windowHeight="12460" xr2:uid="{00000000-000D-0000-FFFF-FFFF00000000}"/>
  </bookViews>
  <sheets>
    <sheet name="Sheet1" sheetId="2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" l="1" a="1"/>
  <c r="G8" i="2" a="1"/>
  <c r="G13" i="2" a="1"/>
  <c r="G18" i="2" a="1"/>
  <c r="G23" i="2" a="1"/>
  <c r="G28" i="2" a="1"/>
  <c r="G33" i="2" a="1"/>
  <c r="G38" i="2" a="1"/>
  <c r="G43" i="2" a="1"/>
  <c r="G48" i="2" a="1"/>
  <c r="G53" i="2" a="1"/>
  <c r="G58" i="2" a="1"/>
  <c r="G63" i="2" a="1"/>
  <c r="G68" i="2" a="1"/>
  <c r="G9" i="2" a="1"/>
  <c r="G14" i="2" a="1"/>
  <c r="G19" i="2" a="1"/>
  <c r="G24" i="2" a="1"/>
  <c r="G29" i="2" a="1"/>
  <c r="G34" i="2" a="1"/>
  <c r="G39" i="2" a="1"/>
  <c r="G44" i="2" a="1"/>
  <c r="G49" i="2" a="1"/>
  <c r="G54" i="2" a="1"/>
  <c r="G59" i="2" a="1"/>
  <c r="G64" i="2" a="1"/>
  <c r="G10" i="2" a="1"/>
  <c r="G15" i="2" a="1"/>
  <c r="G20" i="2" a="1"/>
  <c r="G25" i="2" a="1"/>
  <c r="G30" i="2" a="1"/>
  <c r="G35" i="2" a="1"/>
  <c r="G40" i="2" a="1"/>
  <c r="G45" i="2" a="1"/>
  <c r="G50" i="2" a="1"/>
  <c r="G55" i="2" a="1"/>
  <c r="G60" i="2" a="1"/>
  <c r="G65" i="2" a="1"/>
  <c r="G11" i="2" a="1"/>
  <c r="G16" i="2" a="1"/>
  <c r="G21" i="2" a="1"/>
  <c r="G26" i="2" a="1"/>
  <c r="G31" i="2" a="1"/>
  <c r="G36" i="2" a="1"/>
  <c r="G41" i="2" a="1"/>
  <c r="G46" i="2" a="1"/>
  <c r="G51" i="2" a="1"/>
  <c r="G56" i="2" a="1"/>
  <c r="G61" i="2" a="1"/>
  <c r="G66" i="2" a="1"/>
  <c r="G12" i="2" a="1"/>
  <c r="G17" i="2" a="1"/>
  <c r="G22" i="2" a="1"/>
  <c r="G27" i="2" a="1"/>
  <c r="G32" i="2" a="1"/>
  <c r="G37" i="2" a="1"/>
  <c r="G42" i="2" a="1"/>
  <c r="G47" i="2" a="1"/>
  <c r="G52" i="2" a="1"/>
  <c r="G57" i="2" a="1"/>
  <c r="G62" i="2" a="1"/>
  <c r="G67" i="2" a="1"/>
  <c r="G4" i="2" a="1"/>
  <c r="G5" i="2" a="1"/>
  <c r="G6" i="2" a="1"/>
  <c r="G7" i="2" a="1"/>
  <c r="G2" i="2" a="1"/>
  <c r="G7" i="2" l="1"/>
  <c r="G6" i="2"/>
  <c r="G5" i="2"/>
  <c r="G4" i="2"/>
  <c r="G67" i="2"/>
  <c r="G62" i="2"/>
  <c r="G57" i="2"/>
  <c r="G52" i="2"/>
  <c r="G47" i="2"/>
  <c r="G42" i="2"/>
  <c r="G37" i="2"/>
  <c r="G32" i="2"/>
  <c r="G27" i="2"/>
  <c r="G22" i="2"/>
  <c r="G17" i="2"/>
  <c r="G12" i="2"/>
  <c r="G66" i="2"/>
  <c r="G61" i="2"/>
  <c r="G56" i="2"/>
  <c r="G51" i="2"/>
  <c r="G46" i="2"/>
  <c r="G41" i="2"/>
  <c r="G36" i="2"/>
  <c r="G31" i="2"/>
  <c r="G26" i="2"/>
  <c r="G21" i="2"/>
  <c r="G16" i="2"/>
  <c r="G11" i="2"/>
  <c r="G65" i="2"/>
  <c r="G60" i="2"/>
  <c r="G55" i="2"/>
  <c r="G50" i="2"/>
  <c r="G45" i="2"/>
  <c r="G40" i="2"/>
  <c r="G35" i="2"/>
  <c r="G30" i="2"/>
  <c r="G25" i="2"/>
  <c r="G20" i="2"/>
  <c r="G15" i="2"/>
  <c r="G10" i="2"/>
  <c r="G64" i="2"/>
  <c r="G59" i="2"/>
  <c r="G54" i="2"/>
  <c r="G49" i="2"/>
  <c r="G44" i="2"/>
  <c r="G39" i="2"/>
  <c r="G34" i="2"/>
  <c r="G29" i="2"/>
  <c r="G24" i="2"/>
  <c r="G19" i="2"/>
  <c r="G14" i="2"/>
  <c r="G9" i="2"/>
  <c r="G68" i="2"/>
  <c r="G63" i="2"/>
  <c r="G58" i="2"/>
  <c r="G53" i="2"/>
  <c r="G48" i="2"/>
  <c r="G43" i="2"/>
  <c r="G38" i="2"/>
  <c r="G33" i="2"/>
  <c r="G28" i="2"/>
  <c r="G23" i="2"/>
  <c r="G18" i="2"/>
  <c r="G13" i="2"/>
  <c r="G8" i="2"/>
  <c r="G3" i="2"/>
  <c r="G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<sst xmlns="http://schemas.openxmlformats.org/spreadsheetml/2006/main" count="74" uniqueCount="74">
  <si>
    <t>Product Name</t>
  </si>
  <si>
    <t>Samsung Galaxy</t>
  </si>
  <si>
    <t>Dell XPS 13</t>
  </si>
  <si>
    <t>Nike Air Max</t>
  </si>
  <si>
    <t>Sony PlayStation</t>
  </si>
  <si>
    <t>Canon EOS R6</t>
  </si>
  <si>
    <t>Gucci Handbag</t>
  </si>
  <si>
    <t>Bose Noise</t>
  </si>
  <si>
    <t>Rolex Submariner</t>
  </si>
  <si>
    <t>Apple Watch</t>
  </si>
  <si>
    <t>Adidas Ultraboost</t>
  </si>
  <si>
    <t>Amazon Kindle</t>
  </si>
  <si>
    <t>Microsoft Surface</t>
  </si>
  <si>
    <t>Chanel Perfume</t>
  </si>
  <si>
    <t>Louis Vuitton Bag</t>
  </si>
  <si>
    <t>Nintendo Switch</t>
  </si>
  <si>
    <t>Google Pixel</t>
  </si>
  <si>
    <t>Dyson Vacuum</t>
  </si>
  <si>
    <t>Fitbit Versa</t>
  </si>
  <si>
    <t>LEGO Millennium</t>
  </si>
  <si>
    <t>Oakley Sunglasses</t>
  </si>
  <si>
    <t>Patagonia Jacket</t>
  </si>
  <si>
    <t>MAC Lipstick</t>
  </si>
  <si>
    <t>Fender Stratocaster</t>
  </si>
  <si>
    <t>Adobe Photoshop</t>
  </si>
  <si>
    <t>LEGO Star Wars</t>
  </si>
  <si>
    <t>GoPro HERO</t>
  </si>
  <si>
    <t>Tiffany Necklace</t>
  </si>
  <si>
    <t>Tesla Powerwall</t>
  </si>
  <si>
    <t>NVIDIA GeForce</t>
  </si>
  <si>
    <t>EstÃ©e Lauder Serum</t>
  </si>
  <si>
    <t>Guerlain Perfume</t>
  </si>
  <si>
    <t>HP Spectre</t>
  </si>
  <si>
    <t>Canon DSLR</t>
  </si>
  <si>
    <t>Nike Air Jordan</t>
  </si>
  <si>
    <t>Apple MacBook</t>
  </si>
  <si>
    <t>Bose SoundSport</t>
  </si>
  <si>
    <t>Cartier Watch</t>
  </si>
  <si>
    <t>Rolex Daytona</t>
  </si>
  <si>
    <t>ASUS ZenBook</t>
  </si>
  <si>
    <t>GoPro MAX</t>
  </si>
  <si>
    <t>Chanel Handbag</t>
  </si>
  <si>
    <t>Nintendo 3DS</t>
  </si>
  <si>
    <t>Garmin Smartwatch</t>
  </si>
  <si>
    <t>Michael Kors Bag</t>
  </si>
  <si>
    <t>Bang &amp; Olufsen</t>
  </si>
  <si>
    <t>Prada Shoes</t>
  </si>
  <si>
    <t>Tesla Roadster</t>
  </si>
  <si>
    <t>NVIDIA Quadro</t>
  </si>
  <si>
    <t>Yves Saint Laurent Perfume</t>
  </si>
  <si>
    <t>Coach Handbag</t>
  </si>
  <si>
    <t>PlayStation VR</t>
  </si>
  <si>
    <t>Yeezy Sneakers</t>
  </si>
  <si>
    <t>Apple iPad</t>
  </si>
  <si>
    <t>Marshall Amp</t>
  </si>
  <si>
    <t>Prada Handbag</t>
  </si>
  <si>
    <t>Nintendo DS</t>
  </si>
  <si>
    <t>Canon Powershot</t>
  </si>
  <si>
    <t>Versace Cologne</t>
  </si>
  <si>
    <t>NVIDIA RTX</t>
  </si>
  <si>
    <t>Dior Perfume</t>
  </si>
  <si>
    <t>Gucci Belt</t>
  </si>
  <si>
    <t>Rolex Datejust</t>
  </si>
  <si>
    <t>MSI Gaming Laptop</t>
  </si>
  <si>
    <t>Bose QuietComfort</t>
  </si>
  <si>
    <t>Cartier Ring</t>
  </si>
  <si>
    <t>Omega Seamaster</t>
  </si>
  <si>
    <t>Score</t>
  </si>
  <si>
    <t>Decision</t>
  </si>
  <si>
    <t>iPhone 15</t>
  </si>
  <si>
    <t>Popularity</t>
  </si>
  <si>
    <t>Profit Margin</t>
  </si>
  <si>
    <t>Affordability</t>
  </si>
  <si>
    <t xml:space="preserve">Median/Cutoff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</si>
</sst>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2" xfId="0" applyFont="1" applyBorder="1" applyAlignment="1">
      <alignment vertical="center"/>
    </xf>
    <xf numFmtId="2" fontId="2" fillId="0" borderId="1" xfId="0" applyNumberFormat="1" applyFont="1" applyBorder="1" applyAlignment="1">
      <alignment vertical="center"/>
    </xf>
    <xf numFmtId="2" fontId="2" fillId="0" borderId="2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2" fontId="2" fillId="0" borderId="6" xfId="0" applyNumberFormat="1" applyFont="1" applyBorder="1" applyAlignment="1">
      <alignment vertical="center"/>
    </xf>
    <xf numFmtId="2" fontId="2" fillId="0" borderId="1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43389-7C8F-4746-B8DA-6A5CD4924F8C}">
  <sheetPr codeName="Sheet1"/>
  <dimension ref="A1:K68"/>
  <sheetViews>
    <sheetView tabSelected="1" topLeftCell="A64" workbookViewId="0">
      <selection activeCell="J9" sqref="J9"/>
    </sheetView>
  </sheetViews>
  <sheetFormatPr baseColWidth="10" defaultColWidth="8.83203125" defaultRowHeight="15" x14ac:dyDescent="0.2"/>
  <cols>
    <col min="1" max="1" width="25.83203125" bestFit="1" customWidth="1"/>
    <col min="2" max="2" width="10.6640625" bestFit="1" customWidth="1"/>
    <col min="3" max="3" width="13.83203125" bestFit="1" customWidth="1"/>
    <col min="4" max="4" width="13.1640625" bestFit="1" customWidth="1"/>
    <col min="10" max="10" width="17.33203125" bestFit="1" customWidth="1"/>
  </cols>
  <sheetData>
    <row r="1" spans="1:11" s="4" customFormat="1" ht="32.5" customHeight="1" thickBot="1" x14ac:dyDescent="0.25">
      <c r="A1" s="1" t="s">
        <v>0</v>
      </c>
      <c r="B1" s="2" t="s">
        <v>70</v>
      </c>
      <c r="C1" s="2" t="s">
        <v>71</v>
      </c>
      <c r="D1" s="3" t="s">
        <v>72</v>
      </c>
      <c r="G1" s="2" t="s">
        <v>67</v>
      </c>
      <c r="H1" s="5" t="s">
        <v>68</v>
      </c>
    </row>
    <row r="2" spans="1:11" s="4" customFormat="1" ht="16" x14ac:dyDescent="0.2">
      <c r="A2" s="7" t="s">
        <v>69</v>
      </c>
      <c r="B2" s="7">
        <v>0.93</v>
      </c>
      <c r="C2" s="7">
        <v>0.25</v>
      </c>
      <c r="D2" s="8">
        <v>0.375</v>
      </c>
      <c r="G2" s="9" cm="1">
        <f t="array" ref="G2">CalculateScore(B2,C2,D2)</f>
        <v>0.55950000000000011</v>
      </c>
      <c r="H2" s="13"/>
    </row>
    <row r="3" spans="1:11" s="4" customFormat="1" ht="16" x14ac:dyDescent="0.2">
      <c r="A3" s="10" t="s">
        <v>1</v>
      </c>
      <c r="B3" s="10">
        <v>0.85</v>
      </c>
      <c r="C3" s="10">
        <v>0.3</v>
      </c>
      <c r="D3" s="8">
        <v>0.39</v>
      </c>
      <c r="G3" s="9" cm="1">
        <f t="array" ref="G3">CalculateScore(B3,C3,D3)</f>
        <v>0.54700000000000004</v>
      </c>
      <c r="H3" s="13"/>
    </row>
    <row r="4" spans="1:11" s="4" customFormat="1" ht="16" x14ac:dyDescent="0.2">
      <c r="A4" s="10" t="s">
        <v>2</v>
      </c>
      <c r="B4" s="10">
        <v>0.7</v>
      </c>
      <c r="C4" s="10">
        <v>0.22</v>
      </c>
      <c r="D4" s="8">
        <v>0.25</v>
      </c>
      <c r="G4" s="9" cm="1">
        <f t="array" ref="G4">CalculateScore(B4,C4,D4)</f>
        <v>0.42099999999999999</v>
      </c>
      <c r="H4" s="13"/>
      <c r="J4" s="11" t="s">
        <v>73</v>
      </c>
      <c r="K4" s="12"/>
    </row>
    <row r="5" spans="1:11" s="4" customFormat="1" ht="16" x14ac:dyDescent="0.2">
      <c r="A5" s="10" t="s">
        <v>3</v>
      </c>
      <c r="B5" s="10">
        <v>0.87</v>
      </c>
      <c r="C5" s="10">
        <v>0.3</v>
      </c>
      <c r="D5" s="8">
        <v>0.4</v>
      </c>
      <c r="G5" s="9" cm="1">
        <f t="array" ref="G5">CalculateScore(B5,C5,D5)</f>
        <v>0.55800000000000005</v>
      </c>
      <c r="H5" s="13"/>
    </row>
    <row r="6" spans="1:11" s="4" customFormat="1" ht="16" x14ac:dyDescent="0.2">
      <c r="A6" s="10" t="s">
        <v>4</v>
      </c>
      <c r="B6" s="10">
        <v>0.85</v>
      </c>
      <c r="C6" s="10">
        <v>0.18</v>
      </c>
      <c r="D6" s="8">
        <v>0.375</v>
      </c>
      <c r="G6" s="9" cm="1">
        <f t="array" ref="G6">CalculateScore(B6,C6,D6)</f>
        <v>0.50649999999999995</v>
      </c>
      <c r="H6" s="13"/>
    </row>
    <row r="7" spans="1:11" s="4" customFormat="1" ht="16" x14ac:dyDescent="0.2">
      <c r="A7" s="10" t="s">
        <v>5</v>
      </c>
      <c r="B7" s="10">
        <v>0.64</v>
      </c>
      <c r="C7" s="10">
        <v>0.28000000000000003</v>
      </c>
      <c r="D7" s="8">
        <v>0.375</v>
      </c>
      <c r="G7" s="9" cm="1">
        <f t="array" ref="G7">CalculateScore(B7,C7,D7)</f>
        <v>0.45250000000000001</v>
      </c>
      <c r="H7" s="13"/>
    </row>
    <row r="8" spans="1:11" s="4" customFormat="1" ht="16" x14ac:dyDescent="0.2">
      <c r="A8" s="10" t="s">
        <v>6</v>
      </c>
      <c r="B8" s="10">
        <v>0.75</v>
      </c>
      <c r="C8" s="10">
        <v>0.35</v>
      </c>
      <c r="D8" s="8">
        <v>0.625</v>
      </c>
      <c r="G8" s="9" cm="1">
        <f t="array" ref="G8">CalculateScore(B8,C8,D8)</f>
        <v>0.59250000000000003</v>
      </c>
      <c r="H8" s="13"/>
      <c r="K8" s="6"/>
    </row>
    <row r="9" spans="1:11" s="4" customFormat="1" ht="16" x14ac:dyDescent="0.2">
      <c r="A9" s="10" t="s">
        <v>7</v>
      </c>
      <c r="B9" s="10">
        <v>0.66</v>
      </c>
      <c r="C9" s="10">
        <v>0.27</v>
      </c>
      <c r="D9" s="8">
        <v>0.375</v>
      </c>
      <c r="G9" s="9" cm="1">
        <f t="array" ref="G9">CalculateScore(B9,C9,D9)</f>
        <v>0.45750000000000002</v>
      </c>
      <c r="H9" s="13"/>
    </row>
    <row r="10" spans="1:11" s="4" customFormat="1" ht="16" x14ac:dyDescent="0.2">
      <c r="A10" s="10" t="s">
        <v>8</v>
      </c>
      <c r="B10" s="10">
        <v>0.75</v>
      </c>
      <c r="C10" s="10">
        <v>0.4</v>
      </c>
      <c r="D10" s="8">
        <v>0.875</v>
      </c>
      <c r="G10" s="9" cm="1">
        <f t="array" ref="G10">CalculateScore(B10,C10,D10)</f>
        <v>0.68250000000000011</v>
      </c>
      <c r="H10" s="13"/>
    </row>
    <row r="11" spans="1:11" s="4" customFormat="1" ht="16" x14ac:dyDescent="0.2">
      <c r="A11" s="10" t="s">
        <v>9</v>
      </c>
      <c r="B11" s="10">
        <v>0.82</v>
      </c>
      <c r="C11" s="10">
        <v>0.25</v>
      </c>
      <c r="D11" s="8">
        <v>0.375</v>
      </c>
      <c r="G11" s="9" cm="1">
        <f t="array" ref="G11">CalculateScore(B11,C11,D11)</f>
        <v>0.51550000000000007</v>
      </c>
      <c r="H11" s="13"/>
    </row>
    <row r="12" spans="1:11" s="4" customFormat="1" ht="16" x14ac:dyDescent="0.2">
      <c r="A12" s="10" t="s">
        <v>10</v>
      </c>
      <c r="B12" s="10">
        <v>0.82</v>
      </c>
      <c r="C12" s="10">
        <v>0.32</v>
      </c>
      <c r="D12" s="8">
        <v>0.25</v>
      </c>
      <c r="G12" s="9" cm="1">
        <f t="array" ref="G12">CalculateScore(B12,C12,D12)</f>
        <v>0.49900000000000005</v>
      </c>
      <c r="H12" s="13"/>
    </row>
    <row r="13" spans="1:11" s="4" customFormat="1" ht="16" x14ac:dyDescent="0.2">
      <c r="A13" s="10" t="s">
        <v>11</v>
      </c>
      <c r="B13" s="10">
        <v>0.82</v>
      </c>
      <c r="C13" s="10">
        <v>0.18</v>
      </c>
      <c r="D13" s="8">
        <v>0.5</v>
      </c>
      <c r="G13" s="9" cm="1">
        <f t="array" ref="G13">CalculateScore(B13,C13,D13)</f>
        <v>0.53200000000000003</v>
      </c>
      <c r="H13" s="13"/>
    </row>
    <row r="14" spans="1:11" s="4" customFormat="1" ht="16" x14ac:dyDescent="0.2">
      <c r="A14" s="10" t="s">
        <v>12</v>
      </c>
      <c r="B14" s="10">
        <v>0.88</v>
      </c>
      <c r="C14" s="10">
        <v>0.23</v>
      </c>
      <c r="D14" s="8">
        <v>0.375</v>
      </c>
      <c r="G14" s="9" cm="1">
        <f t="array" ref="G14">CalculateScore(B14,C14,D14)</f>
        <v>0.53350000000000009</v>
      </c>
      <c r="H14" s="13"/>
    </row>
    <row r="15" spans="1:11" s="4" customFormat="1" ht="16" x14ac:dyDescent="0.2">
      <c r="A15" s="10" t="s">
        <v>13</v>
      </c>
      <c r="B15" s="10">
        <v>0.75</v>
      </c>
      <c r="C15" s="10">
        <v>0.38</v>
      </c>
      <c r="D15" s="8">
        <v>0.125</v>
      </c>
      <c r="G15" s="9" cm="1">
        <f t="array" ref="G15">CalculateScore(B15,C15,D15)</f>
        <v>0.45150000000000001</v>
      </c>
      <c r="H15" s="13"/>
    </row>
    <row r="16" spans="1:11" s="4" customFormat="1" ht="16" x14ac:dyDescent="0.2">
      <c r="A16" s="10" t="s">
        <v>14</v>
      </c>
      <c r="B16" s="10">
        <v>0.9</v>
      </c>
      <c r="C16" s="10">
        <v>0.42</v>
      </c>
      <c r="D16" s="8">
        <v>0.625</v>
      </c>
      <c r="G16" s="9" cm="1">
        <f t="array" ref="G16">CalculateScore(B16,C16,D16)</f>
        <v>0.67349999999999999</v>
      </c>
      <c r="H16" s="13"/>
    </row>
    <row r="17" spans="1:8" s="4" customFormat="1" ht="16" x14ac:dyDescent="0.2">
      <c r="A17" s="10" t="s">
        <v>15</v>
      </c>
      <c r="B17" s="10">
        <v>0.88</v>
      </c>
      <c r="C17" s="10">
        <v>0.25</v>
      </c>
      <c r="D17" s="8">
        <v>0.375</v>
      </c>
      <c r="G17" s="9" cm="1">
        <f t="array" ref="G17">CalculateScore(B17,C17,D17)</f>
        <v>0.53950000000000009</v>
      </c>
      <c r="H17" s="13"/>
    </row>
    <row r="18" spans="1:8" s="4" customFormat="1" ht="16" x14ac:dyDescent="0.2">
      <c r="A18" s="10" t="s">
        <v>16</v>
      </c>
      <c r="B18" s="10">
        <v>0.85</v>
      </c>
      <c r="C18" s="10">
        <v>0.2</v>
      </c>
      <c r="D18" s="8">
        <v>0.375</v>
      </c>
      <c r="G18" s="9" cm="1">
        <f t="array" ref="G18">CalculateScore(B18,C18,D18)</f>
        <v>0.51249999999999996</v>
      </c>
      <c r="H18" s="13"/>
    </row>
    <row r="19" spans="1:8" s="4" customFormat="1" ht="16" x14ac:dyDescent="0.2">
      <c r="A19" s="10" t="s">
        <v>17</v>
      </c>
      <c r="B19" s="10">
        <v>0.9</v>
      </c>
      <c r="C19" s="10">
        <v>0.28000000000000003</v>
      </c>
      <c r="D19" s="8">
        <v>0.875</v>
      </c>
      <c r="G19" s="9" cm="1">
        <f t="array" ref="G19">CalculateScore(B19,C19,D19)</f>
        <v>0.70650000000000013</v>
      </c>
      <c r="H19" s="13"/>
    </row>
    <row r="20" spans="1:8" s="4" customFormat="1" ht="16" x14ac:dyDescent="0.2">
      <c r="A20" s="10" t="s">
        <v>18</v>
      </c>
      <c r="B20" s="10">
        <v>0.82</v>
      </c>
      <c r="C20" s="10">
        <v>0.15</v>
      </c>
      <c r="D20" s="8">
        <v>0.375</v>
      </c>
      <c r="G20" s="9" cm="1">
        <f t="array" ref="G20">CalculateScore(B20,C20,D20)</f>
        <v>0.48549999999999999</v>
      </c>
      <c r="H20" s="13"/>
    </row>
    <row r="21" spans="1:8" s="4" customFormat="1" ht="16" x14ac:dyDescent="0.2">
      <c r="A21" s="10" t="s">
        <v>19</v>
      </c>
      <c r="B21" s="10">
        <v>0.88</v>
      </c>
      <c r="C21" s="10">
        <v>0.3</v>
      </c>
      <c r="D21" s="8">
        <v>0.125</v>
      </c>
      <c r="G21" s="9" cm="1">
        <f t="array" ref="G21">CalculateScore(B21,C21,D21)</f>
        <v>0.47950000000000004</v>
      </c>
      <c r="H21" s="13"/>
    </row>
    <row r="22" spans="1:8" s="4" customFormat="1" ht="16" x14ac:dyDescent="0.2">
      <c r="A22" s="10" t="s">
        <v>20</v>
      </c>
      <c r="B22" s="10">
        <v>0.85</v>
      </c>
      <c r="C22" s="10">
        <v>0.35</v>
      </c>
      <c r="D22" s="8">
        <v>0.375</v>
      </c>
      <c r="G22" s="9" cm="1">
        <f t="array" ref="G22">CalculateScore(B22,C22,D22)</f>
        <v>0.5575</v>
      </c>
      <c r="H22" s="13"/>
    </row>
    <row r="23" spans="1:8" s="4" customFormat="1" ht="16" x14ac:dyDescent="0.2">
      <c r="A23" s="10" t="s">
        <v>21</v>
      </c>
      <c r="B23" s="10">
        <v>0.55000000000000004</v>
      </c>
      <c r="C23" s="10">
        <v>0.22</v>
      </c>
      <c r="D23" s="8">
        <v>0.375</v>
      </c>
      <c r="G23" s="9" cm="1">
        <f t="array" ref="G23">CalculateScore(B23,C23,D23)</f>
        <v>0.39850000000000002</v>
      </c>
      <c r="H23" s="13"/>
    </row>
    <row r="24" spans="1:8" s="4" customFormat="1" ht="16" x14ac:dyDescent="0.2">
      <c r="A24" s="10" t="s">
        <v>22</v>
      </c>
      <c r="B24" s="10">
        <v>0.8</v>
      </c>
      <c r="C24" s="10">
        <v>0.4</v>
      </c>
      <c r="D24" s="8">
        <v>0.125</v>
      </c>
      <c r="G24" s="9" cm="1">
        <f t="array" ref="G24">CalculateScore(B24,C24,D24)</f>
        <v>0.47750000000000004</v>
      </c>
      <c r="H24" s="13"/>
    </row>
    <row r="25" spans="1:8" s="4" customFormat="1" ht="16" x14ac:dyDescent="0.2">
      <c r="A25" s="10" t="s">
        <v>23</v>
      </c>
      <c r="B25" s="10">
        <v>0.48</v>
      </c>
      <c r="C25" s="10">
        <v>0.32</v>
      </c>
      <c r="D25" s="8">
        <v>0.625</v>
      </c>
      <c r="G25" s="9" cm="1">
        <f t="array" ref="G25">CalculateScore(B25,C25,D25)</f>
        <v>0.47550000000000003</v>
      </c>
      <c r="H25" s="13"/>
    </row>
    <row r="26" spans="1:8" s="4" customFormat="1" ht="16" x14ac:dyDescent="0.2">
      <c r="A26" s="10" t="s">
        <v>24</v>
      </c>
      <c r="B26" s="10">
        <v>0.85</v>
      </c>
      <c r="C26" s="10">
        <v>0.25</v>
      </c>
      <c r="D26" s="8">
        <v>0.375</v>
      </c>
      <c r="G26" s="9" cm="1">
        <f t="array" ref="G26">CalculateScore(B26,C26,D26)</f>
        <v>0.52750000000000008</v>
      </c>
      <c r="H26" s="13"/>
    </row>
    <row r="27" spans="1:8" s="4" customFormat="1" ht="16" x14ac:dyDescent="0.2">
      <c r="A27" s="10" t="s">
        <v>25</v>
      </c>
      <c r="B27" s="10">
        <v>0.92</v>
      </c>
      <c r="C27" s="10">
        <v>0.3</v>
      </c>
      <c r="D27" s="8">
        <v>0.25</v>
      </c>
      <c r="G27" s="9" cm="1">
        <f t="array" ref="G27">CalculateScore(B27,C27,D27)</f>
        <v>0.53300000000000003</v>
      </c>
      <c r="H27" s="13"/>
    </row>
    <row r="28" spans="1:8" s="4" customFormat="1" ht="16" x14ac:dyDescent="0.2">
      <c r="A28" s="10" t="s">
        <v>26</v>
      </c>
      <c r="B28" s="10">
        <v>0.57999999999999996</v>
      </c>
      <c r="C28" s="10">
        <v>0.28000000000000003</v>
      </c>
      <c r="D28" s="8">
        <v>0.375</v>
      </c>
      <c r="G28" s="9" cm="1">
        <f t="array" ref="G28">CalculateScore(B28,C28,D28)</f>
        <v>0.42849999999999999</v>
      </c>
      <c r="H28" s="13"/>
    </row>
    <row r="29" spans="1:8" s="4" customFormat="1" ht="16" x14ac:dyDescent="0.2">
      <c r="A29" s="10" t="s">
        <v>27</v>
      </c>
      <c r="B29" s="10">
        <v>0.7</v>
      </c>
      <c r="C29" s="10">
        <v>0.35</v>
      </c>
      <c r="D29" s="8">
        <v>0.625</v>
      </c>
      <c r="G29" s="9" cm="1">
        <f t="array" ref="G29">CalculateScore(B29,C29,D29)</f>
        <v>0.57250000000000001</v>
      </c>
      <c r="H29" s="13"/>
    </row>
    <row r="30" spans="1:8" s="4" customFormat="1" ht="16" x14ac:dyDescent="0.2">
      <c r="A30" s="10" t="s">
        <v>28</v>
      </c>
      <c r="B30" s="10">
        <v>0.77</v>
      </c>
      <c r="C30" s="10">
        <v>0.45</v>
      </c>
      <c r="D30" s="8">
        <v>1.375</v>
      </c>
      <c r="G30" s="9" cm="1">
        <f t="array" ref="G30">CalculateScore(B30,C30,D30)</f>
        <v>0.85550000000000004</v>
      </c>
      <c r="H30" s="13"/>
    </row>
    <row r="31" spans="1:8" s="4" customFormat="1" ht="16" x14ac:dyDescent="0.2">
      <c r="A31" s="10" t="s">
        <v>29</v>
      </c>
      <c r="B31" s="10">
        <v>0.61</v>
      </c>
      <c r="C31" s="10">
        <v>0.25</v>
      </c>
      <c r="D31" s="8">
        <v>0.375</v>
      </c>
      <c r="G31" s="9" cm="1">
        <f t="array" ref="G31">CalculateScore(B31,C31,D31)</f>
        <v>0.43149999999999999</v>
      </c>
      <c r="H31" s="13"/>
    </row>
    <row r="32" spans="1:8" s="4" customFormat="1" ht="16" x14ac:dyDescent="0.2">
      <c r="A32" s="10" t="s">
        <v>30</v>
      </c>
      <c r="B32" s="10">
        <v>0.75</v>
      </c>
      <c r="C32" s="10">
        <v>0.38</v>
      </c>
      <c r="D32" s="8">
        <v>0.375</v>
      </c>
      <c r="G32" s="9" cm="1">
        <f t="array" ref="G32">CalculateScore(B32,C32,D32)</f>
        <v>0.52649999999999997</v>
      </c>
      <c r="H32" s="13"/>
    </row>
    <row r="33" spans="1:8" s="4" customFormat="1" ht="16" x14ac:dyDescent="0.2">
      <c r="A33" s="10" t="s">
        <v>31</v>
      </c>
      <c r="B33" s="10">
        <v>0.76</v>
      </c>
      <c r="C33" s="10">
        <v>0.4</v>
      </c>
      <c r="D33" s="8">
        <v>0.625</v>
      </c>
      <c r="G33" s="9" cm="1">
        <f t="array" ref="G33">CalculateScore(B33,C33,D33)</f>
        <v>0.61150000000000004</v>
      </c>
      <c r="H33" s="13"/>
    </row>
    <row r="34" spans="1:8" s="4" customFormat="1" ht="16" x14ac:dyDescent="0.2">
      <c r="A34" s="10" t="s">
        <v>32</v>
      </c>
      <c r="B34" s="10">
        <v>0.88</v>
      </c>
      <c r="C34" s="10">
        <v>0.23</v>
      </c>
      <c r="D34" s="8">
        <v>0.375</v>
      </c>
      <c r="G34" s="9" cm="1">
        <f t="array" ref="G34">CalculateScore(B34,C34,D34)</f>
        <v>0.53350000000000009</v>
      </c>
      <c r="H34" s="13"/>
    </row>
    <row r="35" spans="1:8" s="4" customFormat="1" ht="16" x14ac:dyDescent="0.2">
      <c r="A35" s="10" t="s">
        <v>33</v>
      </c>
      <c r="B35" s="10">
        <v>0.75</v>
      </c>
      <c r="C35" s="10">
        <v>0.32</v>
      </c>
      <c r="D35" s="8">
        <v>0.625</v>
      </c>
      <c r="G35" s="9" cm="1">
        <f t="array" ref="G35">CalculateScore(B35,C35,D35)</f>
        <v>0.58350000000000002</v>
      </c>
      <c r="H35" s="13"/>
    </row>
    <row r="36" spans="1:8" s="4" customFormat="1" ht="16" x14ac:dyDescent="0.2">
      <c r="A36" s="10" t="s">
        <v>34</v>
      </c>
      <c r="B36" s="10">
        <v>0.86</v>
      </c>
      <c r="C36" s="10">
        <v>0.25</v>
      </c>
      <c r="D36" s="8">
        <v>0.125</v>
      </c>
      <c r="G36" s="9" cm="1">
        <f t="array" ref="G36">CalculateScore(B36,C36,D36)</f>
        <v>0.45650000000000002</v>
      </c>
      <c r="H36" s="13"/>
    </row>
    <row r="37" spans="1:8" s="4" customFormat="1" ht="16" x14ac:dyDescent="0.2">
      <c r="A37" s="10" t="s">
        <v>35</v>
      </c>
      <c r="B37" s="10">
        <v>0.92</v>
      </c>
      <c r="C37" s="10">
        <v>0.3</v>
      </c>
      <c r="D37" s="8">
        <v>0.625</v>
      </c>
      <c r="G37" s="9" cm="1">
        <f t="array" ref="G37">CalculateScore(B37,C37,D37)</f>
        <v>0.64550000000000007</v>
      </c>
      <c r="H37" s="13"/>
    </row>
    <row r="38" spans="1:8" s="4" customFormat="1" ht="16" x14ac:dyDescent="0.2">
      <c r="A38" s="10" t="s">
        <v>36</v>
      </c>
      <c r="B38" s="10">
        <v>0.48</v>
      </c>
      <c r="C38" s="10">
        <v>0.28000000000000003</v>
      </c>
      <c r="D38" s="8">
        <v>0.375</v>
      </c>
      <c r="G38" s="9" cm="1">
        <f t="array" ref="G38">CalculateScore(B38,C38,D38)</f>
        <v>0.38850000000000001</v>
      </c>
      <c r="H38" s="13"/>
    </row>
    <row r="39" spans="1:8" s="4" customFormat="1" ht="16" x14ac:dyDescent="0.2">
      <c r="A39" s="10" t="s">
        <v>37</v>
      </c>
      <c r="B39" s="10">
        <v>0.8</v>
      </c>
      <c r="C39" s="10">
        <v>0.45</v>
      </c>
      <c r="D39" s="8">
        <v>0.875</v>
      </c>
      <c r="G39" s="9" cm="1">
        <f t="array" ref="G39">CalculateScore(B39,C39,D39)</f>
        <v>0.71750000000000003</v>
      </c>
      <c r="H39" s="13"/>
    </row>
    <row r="40" spans="1:8" s="4" customFormat="1" ht="16" x14ac:dyDescent="0.2">
      <c r="A40" s="10" t="s">
        <v>38</v>
      </c>
      <c r="B40" s="10">
        <v>0.5</v>
      </c>
      <c r="C40" s="10">
        <v>0.5</v>
      </c>
      <c r="D40" s="8">
        <v>0.875</v>
      </c>
      <c r="G40" s="9" cm="1">
        <f t="array" ref="G40">CalculateScore(B40,C40,D40)</f>
        <v>0.61250000000000004</v>
      </c>
      <c r="H40" s="13"/>
    </row>
    <row r="41" spans="1:8" s="4" customFormat="1" ht="16" x14ac:dyDescent="0.2">
      <c r="A41" s="10" t="s">
        <v>39</v>
      </c>
      <c r="B41" s="10">
        <v>0.88</v>
      </c>
      <c r="C41" s="10">
        <v>0.22</v>
      </c>
      <c r="D41" s="8">
        <v>0.375</v>
      </c>
      <c r="G41" s="9" cm="1">
        <f t="array" ref="G41">CalculateScore(B41,C41,D41)</f>
        <v>0.53049999999999997</v>
      </c>
      <c r="H41" s="13"/>
    </row>
    <row r="42" spans="1:8" s="4" customFormat="1" ht="16" x14ac:dyDescent="0.2">
      <c r="A42" s="10" t="s">
        <v>40</v>
      </c>
      <c r="B42" s="10">
        <v>0.85</v>
      </c>
      <c r="C42" s="10">
        <v>0.3</v>
      </c>
      <c r="D42" s="8">
        <v>0.625</v>
      </c>
      <c r="G42" s="9" cm="1">
        <f t="array" ref="G42">CalculateScore(B42,C42,D42)</f>
        <v>0.61750000000000005</v>
      </c>
      <c r="H42" s="13"/>
    </row>
    <row r="43" spans="1:8" s="4" customFormat="1" ht="16" x14ac:dyDescent="0.2">
      <c r="A43" s="10" t="s">
        <v>41</v>
      </c>
      <c r="B43" s="10">
        <v>0.9</v>
      </c>
      <c r="C43" s="10">
        <v>0.42</v>
      </c>
      <c r="D43" s="8">
        <v>0.625</v>
      </c>
      <c r="G43" s="9" cm="1">
        <f t="array" ref="G43">CalculateScore(B43,C43,D43)</f>
        <v>0.67349999999999999</v>
      </c>
      <c r="H43" s="13"/>
    </row>
    <row r="44" spans="1:8" s="4" customFormat="1" ht="16" x14ac:dyDescent="0.2">
      <c r="A44" s="10" t="s">
        <v>42</v>
      </c>
      <c r="B44" s="10">
        <v>0.88</v>
      </c>
      <c r="C44" s="10">
        <v>0.25</v>
      </c>
      <c r="D44" s="8">
        <v>0.375</v>
      </c>
      <c r="G44" s="9" cm="1">
        <f t="array" ref="G44">CalculateScore(B44,C44,D44)</f>
        <v>0.53950000000000009</v>
      </c>
      <c r="H44" s="13"/>
    </row>
    <row r="45" spans="1:8" s="4" customFormat="1" ht="16" x14ac:dyDescent="0.2">
      <c r="A45" s="10" t="s">
        <v>43</v>
      </c>
      <c r="B45" s="10">
        <v>0.85</v>
      </c>
      <c r="C45" s="10">
        <v>0.35</v>
      </c>
      <c r="D45" s="8">
        <v>0.375</v>
      </c>
      <c r="G45" s="9" cm="1">
        <f t="array" ref="G45">CalculateScore(B45,C45,D45)</f>
        <v>0.5575</v>
      </c>
      <c r="H45" s="13"/>
    </row>
    <row r="46" spans="1:8" s="4" customFormat="1" ht="16" x14ac:dyDescent="0.2">
      <c r="A46" s="10" t="s">
        <v>44</v>
      </c>
      <c r="B46" s="10">
        <v>0.9</v>
      </c>
      <c r="C46" s="10">
        <v>0.4</v>
      </c>
      <c r="D46" s="8">
        <v>0.625</v>
      </c>
      <c r="G46" s="9" cm="1">
        <f t="array" ref="G46">CalculateScore(B46,C46,D46)</f>
        <v>0.66749999999999998</v>
      </c>
      <c r="H46" s="13"/>
    </row>
    <row r="47" spans="1:8" s="4" customFormat="1" ht="16" x14ac:dyDescent="0.2">
      <c r="A47" s="10" t="s">
        <v>45</v>
      </c>
      <c r="B47" s="10">
        <v>0.88</v>
      </c>
      <c r="C47" s="10">
        <v>0.28000000000000003</v>
      </c>
      <c r="D47" s="8">
        <v>0.375</v>
      </c>
      <c r="G47" s="9" cm="1">
        <f t="array" ref="G47">CalculateScore(B47,C47,D47)</f>
        <v>0.54849999999999999</v>
      </c>
      <c r="H47" s="13"/>
    </row>
    <row r="48" spans="1:8" s="4" customFormat="1" ht="16" x14ac:dyDescent="0.2">
      <c r="A48" s="10" t="s">
        <v>46</v>
      </c>
      <c r="B48" s="10">
        <v>0.85</v>
      </c>
      <c r="C48" s="10">
        <v>0.45</v>
      </c>
      <c r="D48" s="8">
        <v>0.375</v>
      </c>
      <c r="G48" s="9" cm="1">
        <f t="array" ref="G48">CalculateScore(B48,C48,D48)</f>
        <v>0.58750000000000002</v>
      </c>
      <c r="H48" s="13"/>
    </row>
    <row r="49" spans="1:8" s="4" customFormat="1" ht="16" x14ac:dyDescent="0.2">
      <c r="A49" s="10" t="s">
        <v>47</v>
      </c>
      <c r="B49" s="10">
        <v>0.95</v>
      </c>
      <c r="C49" s="10">
        <v>0.55000000000000004</v>
      </c>
      <c r="D49" s="8">
        <v>1.375</v>
      </c>
      <c r="G49" s="9" cm="1">
        <f t="array" ref="G49">CalculateScore(B49,C49,D49)</f>
        <v>0.95750000000000002</v>
      </c>
      <c r="H49" s="13"/>
    </row>
    <row r="50" spans="1:8" s="4" customFormat="1" ht="16" x14ac:dyDescent="0.2">
      <c r="A50" s="10" t="s">
        <v>48</v>
      </c>
      <c r="B50" s="10">
        <v>0.88</v>
      </c>
      <c r="C50" s="10">
        <v>0.25</v>
      </c>
      <c r="D50" s="8">
        <v>0.375</v>
      </c>
      <c r="G50" s="9" cm="1">
        <f t="array" ref="G50">CalculateScore(B50,C50,D50)</f>
        <v>0.53950000000000009</v>
      </c>
      <c r="H50" s="13"/>
    </row>
    <row r="51" spans="1:8" s="4" customFormat="1" ht="16" x14ac:dyDescent="0.2">
      <c r="A51" s="10" t="s">
        <v>49</v>
      </c>
      <c r="B51" s="10">
        <v>0.85</v>
      </c>
      <c r="C51" s="10">
        <v>0.38</v>
      </c>
      <c r="D51" s="8">
        <v>0.375</v>
      </c>
      <c r="G51" s="9" cm="1">
        <f t="array" ref="G51">CalculateScore(B51,C51,D51)</f>
        <v>0.5665</v>
      </c>
      <c r="H51" s="13"/>
    </row>
    <row r="52" spans="1:8" s="4" customFormat="1" ht="16" x14ac:dyDescent="0.2">
      <c r="A52" s="10" t="s">
        <v>50</v>
      </c>
      <c r="B52" s="10">
        <v>0.35</v>
      </c>
      <c r="C52" s="10">
        <v>0.45</v>
      </c>
      <c r="D52" s="8">
        <v>0.625</v>
      </c>
      <c r="G52" s="9" cm="1">
        <f t="array" ref="G52">CalculateScore(B52,C52,D52)</f>
        <v>0.46250000000000002</v>
      </c>
      <c r="H52" s="13"/>
    </row>
    <row r="53" spans="1:8" s="4" customFormat="1" ht="16" x14ac:dyDescent="0.2">
      <c r="A53" s="10" t="s">
        <v>51</v>
      </c>
      <c r="B53" s="10">
        <v>0.88</v>
      </c>
      <c r="C53" s="10">
        <v>0.28000000000000003</v>
      </c>
      <c r="D53" s="8">
        <v>0.375</v>
      </c>
      <c r="G53" s="9" cm="1">
        <f t="array" ref="G53">CalculateScore(B53,C53,D53)</f>
        <v>0.54849999999999999</v>
      </c>
      <c r="H53" s="13"/>
    </row>
    <row r="54" spans="1:8" s="4" customFormat="1" ht="16" x14ac:dyDescent="0.2">
      <c r="A54" s="10" t="s">
        <v>52</v>
      </c>
      <c r="B54" s="10">
        <v>0.85</v>
      </c>
      <c r="C54" s="10">
        <v>0.5</v>
      </c>
      <c r="D54" s="8">
        <v>0.375</v>
      </c>
      <c r="G54" s="9" cm="1">
        <f t="array" ref="G54">CalculateScore(B54,C54,D54)</f>
        <v>0.60250000000000004</v>
      </c>
      <c r="H54" s="13"/>
    </row>
    <row r="55" spans="1:8" s="4" customFormat="1" ht="16" x14ac:dyDescent="0.2">
      <c r="A55" s="10" t="s">
        <v>53</v>
      </c>
      <c r="B55" s="10">
        <v>0.92</v>
      </c>
      <c r="C55" s="10">
        <v>0.3</v>
      </c>
      <c r="D55" s="8">
        <v>0.625</v>
      </c>
      <c r="G55" s="9" cm="1">
        <f t="array" ref="G55">CalculateScore(B55,C55,D55)</f>
        <v>0.64550000000000007</v>
      </c>
      <c r="H55" s="13"/>
    </row>
    <row r="56" spans="1:8" s="4" customFormat="1" ht="16" x14ac:dyDescent="0.2">
      <c r="A56" s="10" t="s">
        <v>54</v>
      </c>
      <c r="B56" s="10">
        <v>0.77</v>
      </c>
      <c r="C56" s="10">
        <v>0.25</v>
      </c>
      <c r="D56" s="8">
        <v>0.375</v>
      </c>
      <c r="G56" s="9" cm="1">
        <f t="array" ref="G56">CalculateScore(B56,C56,D56)</f>
        <v>0.49550000000000005</v>
      </c>
      <c r="H56" s="13"/>
    </row>
    <row r="57" spans="1:8" s="4" customFormat="1" ht="16" x14ac:dyDescent="0.2">
      <c r="A57" s="10" t="s">
        <v>55</v>
      </c>
      <c r="B57" s="10">
        <v>0.45</v>
      </c>
      <c r="C57" s="10">
        <v>0.42</v>
      </c>
      <c r="D57" s="8">
        <v>0.625</v>
      </c>
      <c r="G57" s="9" cm="1">
        <f t="array" ref="G57">CalculateScore(B57,C57,D57)</f>
        <v>0.49350000000000005</v>
      </c>
      <c r="H57" s="13"/>
    </row>
    <row r="58" spans="1:8" s="4" customFormat="1" ht="16" x14ac:dyDescent="0.2">
      <c r="A58" s="10" t="s">
        <v>56</v>
      </c>
      <c r="B58" s="10">
        <v>0.88</v>
      </c>
      <c r="C58" s="10">
        <v>0.25</v>
      </c>
      <c r="D58" s="8">
        <v>0.375</v>
      </c>
      <c r="G58" s="9" cm="1">
        <f t="array" ref="G58">CalculateScore(B58,C58,D58)</f>
        <v>0.53950000000000009</v>
      </c>
      <c r="H58" s="13"/>
    </row>
    <row r="59" spans="1:8" s="4" customFormat="1" ht="16" x14ac:dyDescent="0.2">
      <c r="A59" s="10" t="s">
        <v>57</v>
      </c>
      <c r="B59" s="10">
        <v>0.85</v>
      </c>
      <c r="C59" s="10">
        <v>0.35</v>
      </c>
      <c r="D59" s="8">
        <v>0.625</v>
      </c>
      <c r="G59" s="9" cm="1">
        <f t="array" ref="G59">CalculateScore(B59,C59,D59)</f>
        <v>0.63250000000000006</v>
      </c>
      <c r="H59" s="13"/>
    </row>
    <row r="60" spans="1:8" s="4" customFormat="1" ht="16" x14ac:dyDescent="0.2">
      <c r="A60" s="10" t="s">
        <v>58</v>
      </c>
      <c r="B60" s="10">
        <v>0.56000000000000005</v>
      </c>
      <c r="C60" s="10">
        <v>0.4</v>
      </c>
      <c r="D60" s="8">
        <v>0.375</v>
      </c>
      <c r="G60" s="9" cm="1">
        <f t="array" ref="G60">CalculateScore(B60,C60,D60)</f>
        <v>0.45650000000000002</v>
      </c>
      <c r="H60" s="13"/>
    </row>
    <row r="61" spans="1:8" s="4" customFormat="1" ht="16" x14ac:dyDescent="0.2">
      <c r="A61" s="10" t="s">
        <v>59</v>
      </c>
      <c r="B61" s="10">
        <v>0.88</v>
      </c>
      <c r="C61" s="10">
        <v>0.25</v>
      </c>
      <c r="D61" s="8">
        <v>0.375</v>
      </c>
      <c r="G61" s="9" cm="1">
        <f t="array" ref="G61">CalculateScore(B61,C61,D61)</f>
        <v>0.53950000000000009</v>
      </c>
      <c r="H61" s="13"/>
    </row>
    <row r="62" spans="1:8" s="4" customFormat="1" ht="16" x14ac:dyDescent="0.2">
      <c r="A62" s="10" t="s">
        <v>60</v>
      </c>
      <c r="B62" s="10">
        <v>0.9</v>
      </c>
      <c r="C62" s="10">
        <v>0.42</v>
      </c>
      <c r="D62" s="8">
        <v>0.375</v>
      </c>
      <c r="G62" s="9" cm="1">
        <f t="array" ref="G62">CalculateScore(B62,C62,D62)</f>
        <v>0.59850000000000003</v>
      </c>
      <c r="H62" s="13"/>
    </row>
    <row r="63" spans="1:8" s="4" customFormat="1" ht="16" x14ac:dyDescent="0.2">
      <c r="A63" s="10" t="s">
        <v>61</v>
      </c>
      <c r="B63" s="10">
        <v>0.85</v>
      </c>
      <c r="C63" s="10">
        <v>0.45</v>
      </c>
      <c r="D63" s="8">
        <v>0.375</v>
      </c>
      <c r="G63" s="9" cm="1">
        <f t="array" ref="G63">CalculateScore(B63,C63,D63)</f>
        <v>0.58750000000000002</v>
      </c>
      <c r="H63" s="13"/>
    </row>
    <row r="64" spans="1:8" s="4" customFormat="1" ht="16" x14ac:dyDescent="0.2">
      <c r="A64" s="10" t="s">
        <v>62</v>
      </c>
      <c r="B64" s="10">
        <v>0.7</v>
      </c>
      <c r="C64" s="10">
        <v>0.5</v>
      </c>
      <c r="D64" s="8">
        <v>0.875</v>
      </c>
      <c r="G64" s="9" cm="1">
        <f t="array" ref="G64">CalculateScore(B64,C64,D64)</f>
        <v>0.69249999999999989</v>
      </c>
      <c r="H64" s="13"/>
    </row>
    <row r="65" spans="1:8" s="4" customFormat="1" ht="16" x14ac:dyDescent="0.2">
      <c r="A65" s="10" t="s">
        <v>63</v>
      </c>
      <c r="B65" s="10">
        <v>0.35</v>
      </c>
      <c r="C65" s="10">
        <v>0.25</v>
      </c>
      <c r="D65" s="8">
        <v>0.375</v>
      </c>
      <c r="G65" s="9" cm="1">
        <f t="array" ref="G65">CalculateScore(B65,C65,D65)</f>
        <v>0.32749999999999996</v>
      </c>
      <c r="H65" s="13"/>
    </row>
    <row r="66" spans="1:8" s="4" customFormat="1" ht="16" x14ac:dyDescent="0.2">
      <c r="A66" s="10" t="s">
        <v>64</v>
      </c>
      <c r="B66" s="10">
        <v>0.44</v>
      </c>
      <c r="C66" s="10">
        <v>0.35</v>
      </c>
      <c r="D66" s="8">
        <v>0.375</v>
      </c>
      <c r="G66" s="9" cm="1">
        <f t="array" ref="G66">CalculateScore(B66,C66,D66)</f>
        <v>0.39350000000000002</v>
      </c>
      <c r="H66" s="13"/>
    </row>
    <row r="67" spans="1:8" s="4" customFormat="1" ht="16" x14ac:dyDescent="0.2">
      <c r="A67" s="10" t="s">
        <v>65</v>
      </c>
      <c r="B67" s="10">
        <v>0.7</v>
      </c>
      <c r="C67" s="10">
        <v>0.5</v>
      </c>
      <c r="D67" s="8">
        <v>0.875</v>
      </c>
      <c r="G67" s="9" cm="1">
        <f t="array" ref="G67">CalculateScore(B67,C67,D67)</f>
        <v>0.69249999999999989</v>
      </c>
      <c r="H67" s="13"/>
    </row>
    <row r="68" spans="1:8" s="4" customFormat="1" ht="16" x14ac:dyDescent="0.2">
      <c r="A68" s="10" t="s">
        <v>66</v>
      </c>
      <c r="B68" s="10">
        <v>0.33</v>
      </c>
      <c r="C68" s="10">
        <v>0.6</v>
      </c>
      <c r="D68" s="8">
        <v>0.375</v>
      </c>
      <c r="G68" s="9" cm="1">
        <f t="array" ref="G68">CalculateScore(B68,C68,D68)</f>
        <v>0.42449999999999999</v>
      </c>
      <c r="H68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Asghar</dc:creator>
  <cp:lastModifiedBy>Bhalgat, Arnav (bhalgaaa)</cp:lastModifiedBy>
  <dcterms:created xsi:type="dcterms:W3CDTF">2015-06-05T18:17:20Z</dcterms:created>
  <dcterms:modified xsi:type="dcterms:W3CDTF">2024-04-15T23:22:15Z</dcterms:modified>
</cp:coreProperties>
</file>